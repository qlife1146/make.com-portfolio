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<sst xmlns="http://schemas.openxmlformats.org/spreadsheetml/2006/main" count="183" uniqueCount="163">
  <si>
    <t>node_id</t>
  </si>
  <si>
    <t>label</t>
  </si>
  <si>
    <t>final value</t>
  </si>
  <si>
    <t>value</t>
  </si>
  <si>
    <t>coloring</t>
  </si>
  <si>
    <t>visible</t>
  </si>
  <si>
    <t>강조 컬러</t>
  </si>
  <si>
    <t>FD564E</t>
  </si>
  <si>
    <t>1:91</t>
  </si>
  <si>
    <t>Standard 말풍선</t>
  </si>
  <si>
    <t>테스트 중입니다</t>
  </si>
  <si>
    <t>강조 볼드</t>
  </si>
  <si>
    <t>ExtraBold</t>
  </si>
  <si>
    <t>1:43</t>
  </si>
  <si>
    <t>Standard 월 가격</t>
  </si>
  <si>
    <t>320,000</t>
  </si>
  <si>
    <t>일반 컬러</t>
  </si>
  <si>
    <t>15181E</t>
  </si>
  <si>
    <t>1:75</t>
  </si>
  <si>
    <t>Standard 3개월 원가</t>
  </si>
  <si>
    <t>960,000</t>
  </si>
  <si>
    <t>일반 볼드</t>
  </si>
  <si>
    <t>SemiBold</t>
  </si>
  <si>
    <t>1:74</t>
  </si>
  <si>
    <t>Standard 3개월 할인</t>
  </si>
  <si>
    <t>888,000</t>
  </si>
  <si>
    <t>설명문 폰트 크기</t>
  </si>
  <si>
    <t>1:82</t>
  </si>
  <si>
    <t>Standard 6개월 원가</t>
  </si>
  <si>
    <t>1,920,000</t>
  </si>
  <si>
    <t>1:81</t>
  </si>
  <si>
    <t>Standard 6개월 할인</t>
  </si>
  <si>
    <t>1,680,000</t>
  </si>
  <si>
    <t>1:8</t>
  </si>
  <si>
    <t>Standard 월 포스팅</t>
  </si>
  <si>
    <t>4</t>
  </si>
  <si>
    <t>1:31</t>
  </si>
  <si>
    <t>Standard VECTOR 1</t>
  </si>
  <si>
    <t>1:29</t>
  </si>
  <si>
    <t>Standard 설명 1</t>
  </si>
  <si>
    <t>??</t>
  </si>
  <si>
    <t>14:202</t>
  </si>
  <si>
    <t>Standard VECTOR 2</t>
  </si>
  <si>
    <t>14:201</t>
  </si>
  <si>
    <t>Standard 설명 2</t>
  </si>
  <si>
    <t>강조 테스트</t>
  </si>
  <si>
    <t>14:224</t>
  </si>
  <si>
    <t>Standard VECTOR 3</t>
  </si>
  <si>
    <t>14:223</t>
  </si>
  <si>
    <t>Standard 설명 3</t>
  </si>
  <si>
    <t>14:208</t>
  </si>
  <si>
    <t>Standard VECTOR 4</t>
  </si>
  <si>
    <t>14:207</t>
  </si>
  <si>
    <t>Standard 설명 4</t>
  </si>
  <si>
    <t>보이기 테스트</t>
  </si>
  <si>
    <t>14:211</t>
  </si>
  <si>
    <t>Standard VECTOR 5</t>
  </si>
  <si>
    <t>14:210</t>
  </si>
  <si>
    <t>Standard 설명 5</t>
  </si>
  <si>
    <t>14:214</t>
  </si>
  <si>
    <t>Standard VECTOR 6</t>
  </si>
  <si>
    <t>14:213</t>
  </si>
  <si>
    <t>Standard 설명 6</t>
  </si>
  <si>
    <t>14:217</t>
  </si>
  <si>
    <t>Standard VECTOR 7</t>
  </si>
  <si>
    <t>14:216</t>
  </si>
  <si>
    <t>Standard 설명 7</t>
  </si>
  <si>
    <t>14:220</t>
  </si>
  <si>
    <t>Standard VECTOR 8</t>
  </si>
  <si>
    <t>14:219</t>
  </si>
  <si>
    <t>Standard 설명 8</t>
  </si>
  <si>
    <t>14:276</t>
  </si>
  <si>
    <t>Deluxe 말풍선</t>
  </si>
  <si>
    <t>14:256</t>
  </si>
  <si>
    <t>Deluxe 월 가격</t>
  </si>
  <si>
    <t>14:262</t>
  </si>
  <si>
    <t>Deluxe 3개월 원가</t>
  </si>
  <si>
    <t>14:263</t>
  </si>
  <si>
    <t>Deluxe 3개월 할인</t>
  </si>
  <si>
    <t>14:269</t>
  </si>
  <si>
    <t>Deluxe 6개월 원가</t>
  </si>
  <si>
    <t>14:270</t>
  </si>
  <si>
    <t>Deluxe 6개월 할인</t>
  </si>
  <si>
    <t>14:255</t>
  </si>
  <si>
    <t>Deluxe 월 포스팅</t>
  </si>
  <si>
    <t>14:231</t>
  </si>
  <si>
    <t>Deluxe VECTOR 1</t>
  </si>
  <si>
    <t>14:230</t>
  </si>
  <si>
    <t>Deluxe 설명 1</t>
  </si>
  <si>
    <t>14:234</t>
  </si>
  <si>
    <t>Deluxe VECTOR 2</t>
  </si>
  <si>
    <t>14:233</t>
  </si>
  <si>
    <t>Deluxe 설명 2</t>
  </si>
  <si>
    <t>14:237</t>
  </si>
  <si>
    <t>Deluxe VECTOR 3</t>
  </si>
  <si>
    <t>14:236</t>
  </si>
  <si>
    <t>Deluxe 설명 3</t>
  </si>
  <si>
    <t>14:240</t>
  </si>
  <si>
    <t>Deluxe VECTOR 4</t>
  </si>
  <si>
    <t>14:239</t>
  </si>
  <si>
    <t>Deluxe 설명 4</t>
  </si>
  <si>
    <t>14:243</t>
  </si>
  <si>
    <t>Deluxe VECTOR 5</t>
  </si>
  <si>
    <t>14:242</t>
  </si>
  <si>
    <t>Deluxe 설명 5</t>
  </si>
  <si>
    <t>14:246</t>
  </si>
  <si>
    <t>Deluxe VECTOR 6</t>
  </si>
  <si>
    <t>14:245</t>
  </si>
  <si>
    <t>Deluxe 설명 6</t>
  </si>
  <si>
    <t>14:249</t>
  </si>
  <si>
    <t>Deluxe VECTOR 7</t>
  </si>
  <si>
    <t>14:248</t>
  </si>
  <si>
    <t>Deluxe 설명 7</t>
  </si>
  <si>
    <t>14:252</t>
  </si>
  <si>
    <t>Deluxe VECTOR 8</t>
  </si>
  <si>
    <t>14:251</t>
  </si>
  <si>
    <t>Deluxe 설명 8</t>
  </si>
  <si>
    <t>14:329</t>
  </si>
  <si>
    <t>Premium 말풍선</t>
  </si>
  <si>
    <t>14:309</t>
  </si>
  <si>
    <t>Premium 월 가격</t>
  </si>
  <si>
    <t>14:315</t>
  </si>
  <si>
    <t>Premium 3개월 원가</t>
  </si>
  <si>
    <t>14:316</t>
  </si>
  <si>
    <t>Premium 3개월 할인</t>
  </si>
  <si>
    <t>14:322</t>
  </si>
  <si>
    <t>Premium 6개월 원가</t>
  </si>
  <si>
    <t>14:323</t>
  </si>
  <si>
    <t>Premium 6개월 할인</t>
  </si>
  <si>
    <t>14:308</t>
  </si>
  <si>
    <t>Premium 월 포스팅</t>
  </si>
  <si>
    <t>14:284</t>
  </si>
  <si>
    <t>Premium VECTOR 1</t>
  </si>
  <si>
    <t>14:283</t>
  </si>
  <si>
    <t>Premium 설명 1</t>
  </si>
  <si>
    <t>14:287</t>
  </si>
  <si>
    <t>Premium VECTOR 2</t>
  </si>
  <si>
    <t>14:286</t>
  </si>
  <si>
    <t>Premium 설명 2</t>
  </si>
  <si>
    <t>14:290</t>
  </si>
  <si>
    <t>Premium VECTOR 3</t>
  </si>
  <si>
    <t>14:289</t>
  </si>
  <si>
    <t>Premium 설명 3</t>
  </si>
  <si>
    <t>14:293</t>
  </si>
  <si>
    <t>Premium VECTOR 4</t>
  </si>
  <si>
    <t>14:292</t>
  </si>
  <si>
    <t>Premium 설명 4</t>
  </si>
  <si>
    <t>14:296</t>
  </si>
  <si>
    <t>Premium VECTOR 5</t>
  </si>
  <si>
    <t>14:295</t>
  </si>
  <si>
    <t>Premium 설명 5</t>
  </si>
  <si>
    <t>14:299</t>
  </si>
  <si>
    <t>Premium VECTOR 6</t>
  </si>
  <si>
    <t>14:298</t>
  </si>
  <si>
    <t>Premium 설명 6</t>
  </si>
  <si>
    <t>14:302</t>
  </si>
  <si>
    <t>Premium VECTOR 7</t>
  </si>
  <si>
    <t>14:301</t>
  </si>
  <si>
    <t>Premium 설명 7</t>
  </si>
  <si>
    <t>14:305</t>
  </si>
  <si>
    <t>Premium VECTOR 8</t>
  </si>
  <si>
    <t>14:304</t>
  </si>
  <si>
    <t>Premium 설명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</si>
</sst>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9" xfId="0" applyFont="1" applyNumberFormat="1"/>
    <xf borderId="1" fillId="0" fontId="1" numFmtId="49" xfId="0" applyAlignment="1" applyBorder="1" applyFont="1" applyNumberFormat="1">
      <alignment readingOrder="0"/>
    </xf>
    <xf borderId="1" fillId="0" fontId="1" numFmtId="49" xfId="0" applyBorder="1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38"/>
    <col customWidth="1" min="3" max="3" width="13.25"/>
    <col customWidth="1" min="4" max="4" width="27.88"/>
    <col hidden="1" min="10" max="25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H1" s="2" t="s">
        <v>6</v>
      </c>
      <c r="I1" s="2" t="s">
        <v>7</v>
      </c>
    </row>
    <row r="2">
      <c r="A2" s="1" t="s">
        <v>8</v>
      </c>
      <c r="B2" s="1" t="s">
        <v>9</v>
      </c>
      <c r="C2" s="3" t="str">
        <f>D2</f>
        <v>테스트 중입니다</v>
      </c>
      <c r="D2" s="1" t="s">
        <v>10</v>
      </c>
      <c r="E2" s="3"/>
      <c r="F2" s="3"/>
      <c r="G2" s="3"/>
      <c r="H2" s="2" t="s">
        <v>11</v>
      </c>
      <c r="I2" s="2" t="s">
        <v>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" t="s">
        <v>13</v>
      </c>
      <c r="B3" s="1" t="s">
        <v>14</v>
      </c>
      <c r="C3" s="3" t="str">
        <f>CONCATENATE(D3, " 원 / 月")</f>
        <v>320,000 원 / 月</v>
      </c>
      <c r="D3" s="1" t="s">
        <v>15</v>
      </c>
      <c r="H3" s="2" t="s">
        <v>16</v>
      </c>
      <c r="I3" s="2" t="s">
        <v>17</v>
      </c>
    </row>
    <row r="4">
      <c r="A4" s="1" t="s">
        <v>18</v>
      </c>
      <c r="B4" s="1" t="s">
        <v>19</v>
      </c>
      <c r="C4" s="1" t="str">
        <f>D4</f>
        <v>960,000</v>
      </c>
      <c r="D4" s="1" t="s">
        <v>20</v>
      </c>
      <c r="H4" s="2" t="s">
        <v>21</v>
      </c>
      <c r="I4" s="2" t="s">
        <v>22</v>
      </c>
    </row>
    <row r="5">
      <c r="A5" s="1" t="s">
        <v>23</v>
      </c>
      <c r="B5" s="1" t="s">
        <v>24</v>
      </c>
      <c r="C5" s="1" t="str">
        <f>CONCATENATE("3개월: ", D5, " 원")</f>
        <v>3개월: 888,000 원</v>
      </c>
      <c r="D5" s="1" t="s">
        <v>25</v>
      </c>
      <c r="H5" s="2" t="s">
        <v>26</v>
      </c>
      <c r="I5" s="2">
        <v>21.28</v>
      </c>
    </row>
    <row r="6">
      <c r="A6" s="1" t="s">
        <v>27</v>
      </c>
      <c r="B6" s="1" t="s">
        <v>28</v>
      </c>
      <c r="C6" s="3" t="str">
        <f>D6</f>
        <v>1,920,000</v>
      </c>
      <c r="D6" s="1" t="s">
        <v>29</v>
      </c>
    </row>
    <row r="7">
      <c r="A7" s="1" t="s">
        <v>30</v>
      </c>
      <c r="B7" s="1" t="s">
        <v>31</v>
      </c>
      <c r="C7" s="3" t="str">
        <f>CONCATENATE("6개월: ", D7, " 원")</f>
        <v>6개월: 1,680,000 원</v>
      </c>
      <c r="D7" s="1" t="s">
        <v>32</v>
      </c>
    </row>
    <row r="8">
      <c r="A8" s="1" t="s">
        <v>33</v>
      </c>
      <c r="B8" s="1" t="s">
        <v>34</v>
      </c>
      <c r="C8" s="3" t="str">
        <f>CONCATENATE("월 포스팅 ", D8, "건 ", "(주 ", round(D8/4,0), "회)")</f>
        <v>월 포스팅 4건 (주 1회)</v>
      </c>
      <c r="D8" s="1" t="s">
        <v>35</v>
      </c>
    </row>
    <row r="9">
      <c r="A9" s="1" t="s">
        <v>36</v>
      </c>
      <c r="B9" s="1" t="s">
        <v>37</v>
      </c>
      <c r="C9" s="3"/>
      <c r="D9" s="3"/>
      <c r="E9" s="2" t="b">
        <f>E10</f>
        <v>0</v>
      </c>
      <c r="F9" s="2" t="b">
        <v>1</v>
      </c>
    </row>
    <row r="10">
      <c r="A10" s="1" t="s">
        <v>38</v>
      </c>
      <c r="B10" s="1" t="s">
        <v>39</v>
      </c>
      <c r="C10" s="3" t="str">
        <f>D10</f>
        <v>??</v>
      </c>
      <c r="D10" s="1" t="s">
        <v>40</v>
      </c>
      <c r="E10" s="2" t="b">
        <v>0</v>
      </c>
      <c r="F10" s="2" t="b">
        <v>1</v>
      </c>
    </row>
    <row r="11">
      <c r="A11" s="1" t="s">
        <v>41</v>
      </c>
      <c r="B11" s="1" t="s">
        <v>42</v>
      </c>
      <c r="C11" s="3"/>
      <c r="D11" s="3"/>
      <c r="E11" s="2" t="b">
        <f>E12</f>
        <v>0</v>
      </c>
      <c r="F11" s="2" t="b">
        <f>if(C11&lt;&gt;"", TRUE, FALSE)</f>
        <v>0</v>
      </c>
    </row>
    <row r="12">
      <c r="A12" s="1" t="s">
        <v>43</v>
      </c>
      <c r="B12" s="1" t="s">
        <v>44</v>
      </c>
      <c r="C12" s="3" t="str">
        <f>D12</f>
        <v>강조 테스트</v>
      </c>
      <c r="D12" s="1" t="s">
        <v>45</v>
      </c>
      <c r="E12" s="2" t="b">
        <v>0</v>
      </c>
      <c r="F12" s="2" t="b">
        <v>0</v>
      </c>
    </row>
    <row r="13">
      <c r="A13" s="1" t="s">
        <v>46</v>
      </c>
      <c r="B13" s="1" t="s">
        <v>47</v>
      </c>
      <c r="C13" s="3"/>
      <c r="D13" s="3"/>
      <c r="E13" s="2" t="b">
        <f>E14</f>
        <v>1</v>
      </c>
      <c r="F13" s="2" t="b">
        <f t="shared" ref="F13:F15" si="1">if(C13&lt;&gt;"", TRUE, FALSE)</f>
        <v>0</v>
      </c>
    </row>
    <row r="14">
      <c r="A14" s="1" t="s">
        <v>48</v>
      </c>
      <c r="B14" s="1" t="s">
        <v>49</v>
      </c>
      <c r="C14" s="3" t="str">
        <f>D14</f>
        <v/>
      </c>
      <c r="D14" s="1"/>
      <c r="E14" s="2" t="b">
        <v>1</v>
      </c>
      <c r="F14" s="2" t="b">
        <f t="shared" si="1"/>
        <v>0</v>
      </c>
    </row>
    <row r="15">
      <c r="A15" s="1" t="s">
        <v>50</v>
      </c>
      <c r="B15" s="1" t="s">
        <v>51</v>
      </c>
      <c r="C15" s="3"/>
      <c r="D15" s="3"/>
      <c r="E15" s="2" t="b">
        <f>E16</f>
        <v>0</v>
      </c>
      <c r="F15" s="2" t="b">
        <f t="shared" si="1"/>
        <v>0</v>
      </c>
    </row>
    <row r="16">
      <c r="A16" s="1" t="s">
        <v>52</v>
      </c>
      <c r="B16" s="1" t="s">
        <v>53</v>
      </c>
      <c r="C16" s="3" t="str">
        <f>D16</f>
        <v>보이기 테스트</v>
      </c>
      <c r="D16" s="1" t="s">
        <v>54</v>
      </c>
      <c r="E16" s="2" t="b">
        <v>0</v>
      </c>
      <c r="F16" s="2" t="b">
        <v>0</v>
      </c>
    </row>
    <row r="17">
      <c r="A17" s="1" t="s">
        <v>55</v>
      </c>
      <c r="B17" s="1" t="s">
        <v>56</v>
      </c>
      <c r="C17" s="3"/>
      <c r="D17" s="3"/>
      <c r="E17" s="2" t="b">
        <f>E18</f>
        <v>0</v>
      </c>
      <c r="F17" s="2" t="b">
        <f t="shared" ref="F17:F24" si="2">if(C17&lt;&gt;"", TRUE, FALSE)</f>
        <v>0</v>
      </c>
    </row>
    <row r="18">
      <c r="A18" s="1" t="s">
        <v>57</v>
      </c>
      <c r="B18" s="1" t="s">
        <v>58</v>
      </c>
      <c r="C18" s="3" t="str">
        <f>D18</f>
        <v/>
      </c>
      <c r="D18" s="3"/>
      <c r="E18" s="2" t="b">
        <v>0</v>
      </c>
      <c r="F18" s="2" t="b">
        <f t="shared" si="2"/>
        <v>0</v>
      </c>
    </row>
    <row r="19">
      <c r="A19" s="1" t="s">
        <v>59</v>
      </c>
      <c r="B19" s="1" t="s">
        <v>60</v>
      </c>
      <c r="C19" s="3"/>
      <c r="D19" s="3"/>
      <c r="E19" s="2" t="b">
        <f>E20</f>
        <v>0</v>
      </c>
      <c r="F19" s="2" t="b">
        <f t="shared" si="2"/>
        <v>0</v>
      </c>
    </row>
    <row r="20">
      <c r="A20" s="1" t="s">
        <v>61</v>
      </c>
      <c r="B20" s="1" t="s">
        <v>62</v>
      </c>
      <c r="C20" s="3" t="str">
        <f>D20</f>
        <v/>
      </c>
      <c r="D20" s="3"/>
      <c r="E20" s="2" t="b">
        <v>0</v>
      </c>
      <c r="F20" s="2" t="b">
        <f t="shared" si="2"/>
        <v>0</v>
      </c>
    </row>
    <row r="21">
      <c r="A21" s="1" t="s">
        <v>63</v>
      </c>
      <c r="B21" s="1" t="s">
        <v>64</v>
      </c>
      <c r="C21" s="3"/>
      <c r="D21" s="3"/>
      <c r="E21" s="2" t="b">
        <f>E22</f>
        <v>0</v>
      </c>
      <c r="F21" s="2" t="b">
        <f t="shared" si="2"/>
        <v>0</v>
      </c>
    </row>
    <row r="22">
      <c r="A22" s="1" t="s">
        <v>65</v>
      </c>
      <c r="B22" s="1" t="s">
        <v>66</v>
      </c>
      <c r="C22" s="3" t="str">
        <f>D22</f>
        <v/>
      </c>
      <c r="D22" s="3"/>
      <c r="E22" s="2" t="b">
        <v>0</v>
      </c>
      <c r="F22" s="2" t="b">
        <f t="shared" si="2"/>
        <v>0</v>
      </c>
    </row>
    <row r="23">
      <c r="A23" s="1" t="s">
        <v>67</v>
      </c>
      <c r="B23" s="1" t="s">
        <v>68</v>
      </c>
      <c r="C23" s="3"/>
      <c r="D23" s="3"/>
      <c r="E23" s="2" t="b">
        <v>0</v>
      </c>
      <c r="F23" s="2" t="b">
        <f t="shared" si="2"/>
        <v>0</v>
      </c>
    </row>
    <row r="24">
      <c r="A24" s="4" t="s">
        <v>69</v>
      </c>
      <c r="B24" s="4" t="s">
        <v>70</v>
      </c>
      <c r="C24" s="5" t="str">
        <f t="shared" ref="C24:C25" si="3">D24</f>
        <v/>
      </c>
      <c r="D24" s="5"/>
      <c r="E24" s="6" t="b">
        <v>0</v>
      </c>
      <c r="F24" s="6" t="b">
        <f t="shared" si="2"/>
        <v>0</v>
      </c>
      <c r="G24" s="7"/>
    </row>
    <row r="25">
      <c r="A25" s="1" t="s">
        <v>71</v>
      </c>
      <c r="B25" s="1" t="s">
        <v>72</v>
      </c>
      <c r="C25" s="3" t="str">
        <f t="shared" si="3"/>
        <v>테스트 중입니다</v>
      </c>
      <c r="D25" s="1" t="s">
        <v>10</v>
      </c>
      <c r="E25" s="3"/>
      <c r="F25" s="3"/>
    </row>
    <row r="26">
      <c r="A26" s="1" t="s">
        <v>73</v>
      </c>
      <c r="B26" s="1" t="s">
        <v>74</v>
      </c>
      <c r="C26" s="3" t="str">
        <f>CONCATENATE(D26, " 원 / 月")</f>
        <v>320,000 원 / 月</v>
      </c>
      <c r="D26" s="1" t="s">
        <v>15</v>
      </c>
    </row>
    <row r="27">
      <c r="A27" s="1" t="s">
        <v>75</v>
      </c>
      <c r="B27" s="1" t="s">
        <v>76</v>
      </c>
      <c r="C27" s="1" t="str">
        <f>D27</f>
        <v>960,000</v>
      </c>
      <c r="D27" s="1" t="s">
        <v>20</v>
      </c>
    </row>
    <row r="28">
      <c r="A28" s="1" t="s">
        <v>77</v>
      </c>
      <c r="B28" s="1" t="s">
        <v>78</v>
      </c>
      <c r="C28" s="1" t="str">
        <f>CONCATENATE("3개월: ", D28, " 원")</f>
        <v>3개월: 888,000 원</v>
      </c>
      <c r="D28" s="1" t="s">
        <v>25</v>
      </c>
    </row>
    <row r="29">
      <c r="A29" s="1" t="s">
        <v>79</v>
      </c>
      <c r="B29" s="1" t="s">
        <v>80</v>
      </c>
      <c r="C29" s="3" t="str">
        <f>D29</f>
        <v>1,920,000</v>
      </c>
      <c r="D29" s="1" t="s">
        <v>29</v>
      </c>
    </row>
    <row r="30">
      <c r="A30" s="1" t="s">
        <v>81</v>
      </c>
      <c r="B30" s="1" t="s">
        <v>82</v>
      </c>
      <c r="C30" s="3" t="str">
        <f>CONCATENATE("6개월: ", D30, " 원")</f>
        <v>6개월: 1,680,000 원</v>
      </c>
      <c r="D30" s="1" t="s">
        <v>32</v>
      </c>
    </row>
    <row r="31">
      <c r="A31" s="1" t="s">
        <v>83</v>
      </c>
      <c r="B31" s="1" t="s">
        <v>84</v>
      </c>
      <c r="C31" s="3" t="str">
        <f>CONCATENATE("월 포스팅 ", D31, "건 ", "(주 ", round(D31/4,0), "회)")</f>
        <v>월 포스팅 4건 (주 1회)</v>
      </c>
      <c r="D31" s="1" t="s">
        <v>35</v>
      </c>
    </row>
    <row r="32">
      <c r="A32" s="1" t="s">
        <v>85</v>
      </c>
      <c r="B32" s="1" t="s">
        <v>86</v>
      </c>
      <c r="C32" s="3"/>
      <c r="D32" s="3"/>
      <c r="E32" s="2" t="b">
        <f>E33</f>
        <v>0</v>
      </c>
      <c r="F32" s="2" t="b">
        <v>1</v>
      </c>
    </row>
    <row r="33">
      <c r="A33" s="1" t="s">
        <v>87</v>
      </c>
      <c r="B33" s="1" t="s">
        <v>88</v>
      </c>
      <c r="C33" s="3" t="str">
        <f>D33</f>
        <v>??</v>
      </c>
      <c r="D33" s="1" t="s">
        <v>40</v>
      </c>
      <c r="E33" s="2" t="b">
        <v>0</v>
      </c>
      <c r="F33" s="2" t="b">
        <v>1</v>
      </c>
    </row>
    <row r="34">
      <c r="A34" s="1" t="s">
        <v>89</v>
      </c>
      <c r="B34" s="1" t="s">
        <v>90</v>
      </c>
      <c r="C34" s="3"/>
      <c r="D34" s="3"/>
      <c r="E34" s="2" t="b">
        <f>E35</f>
        <v>0</v>
      </c>
      <c r="F34" s="2" t="b">
        <f>if(C34&lt;&gt;"", TRUE, FALSE)</f>
        <v>0</v>
      </c>
    </row>
    <row r="35">
      <c r="A35" s="1" t="s">
        <v>91</v>
      </c>
      <c r="B35" s="1" t="s">
        <v>92</v>
      </c>
      <c r="C35" s="3" t="str">
        <f>D35</f>
        <v>강조 테스트</v>
      </c>
      <c r="D35" s="1" t="s">
        <v>45</v>
      </c>
      <c r="E35" s="2" t="b">
        <v>0</v>
      </c>
      <c r="F35" s="2" t="b">
        <v>0</v>
      </c>
    </row>
    <row r="36">
      <c r="A36" s="1" t="s">
        <v>93</v>
      </c>
      <c r="B36" s="1" t="s">
        <v>94</v>
      </c>
      <c r="C36" s="3"/>
      <c r="D36" s="3"/>
      <c r="E36" s="2" t="b">
        <f>E37</f>
        <v>1</v>
      </c>
      <c r="F36" s="2" t="b">
        <f t="shared" ref="F36:F38" si="4">if(C36&lt;&gt;"", TRUE, FALSE)</f>
        <v>0</v>
      </c>
    </row>
    <row r="37">
      <c r="A37" s="1" t="s">
        <v>95</v>
      </c>
      <c r="B37" s="1" t="s">
        <v>96</v>
      </c>
      <c r="C37" s="3" t="str">
        <f>D37</f>
        <v/>
      </c>
      <c r="D37" s="1"/>
      <c r="E37" s="2" t="b">
        <v>1</v>
      </c>
      <c r="F37" s="2" t="b">
        <f t="shared" si="4"/>
        <v>0</v>
      </c>
    </row>
    <row r="38">
      <c r="A38" s="1" t="s">
        <v>97</v>
      </c>
      <c r="B38" s="1" t="s">
        <v>98</v>
      </c>
      <c r="C38" s="3"/>
      <c r="D38" s="3"/>
      <c r="E38" s="2" t="b">
        <f>E39</f>
        <v>0</v>
      </c>
      <c r="F38" s="2" t="b">
        <f t="shared" si="4"/>
        <v>0</v>
      </c>
    </row>
    <row r="39">
      <c r="A39" s="1" t="s">
        <v>99</v>
      </c>
      <c r="B39" s="1" t="s">
        <v>100</v>
      </c>
      <c r="C39" s="3" t="str">
        <f>D39</f>
        <v>보이기 테스트</v>
      </c>
      <c r="D39" s="1" t="s">
        <v>54</v>
      </c>
      <c r="E39" s="2" t="b">
        <v>0</v>
      </c>
      <c r="F39" s="2" t="b">
        <v>0</v>
      </c>
    </row>
    <row r="40">
      <c r="A40" s="1" t="s">
        <v>101</v>
      </c>
      <c r="B40" s="1" t="s">
        <v>102</v>
      </c>
      <c r="C40" s="3"/>
      <c r="D40" s="3"/>
      <c r="E40" s="2" t="b">
        <f>E41</f>
        <v>0</v>
      </c>
      <c r="F40" s="2" t="b">
        <f t="shared" ref="F40:F47" si="5">if(C40&lt;&gt;"", TRUE, FALSE)</f>
        <v>0</v>
      </c>
    </row>
    <row r="41">
      <c r="A41" s="1" t="s">
        <v>103</v>
      </c>
      <c r="B41" s="1" t="s">
        <v>104</v>
      </c>
      <c r="C41" s="3" t="str">
        <f>D41</f>
        <v/>
      </c>
      <c r="D41" s="3"/>
      <c r="E41" s="2" t="b">
        <v>0</v>
      </c>
      <c r="F41" s="2" t="b">
        <f t="shared" si="5"/>
        <v>0</v>
      </c>
    </row>
    <row r="42">
      <c r="A42" s="1" t="s">
        <v>105</v>
      </c>
      <c r="B42" s="1" t="s">
        <v>106</v>
      </c>
      <c r="C42" s="3"/>
      <c r="D42" s="3"/>
      <c r="E42" s="2" t="b">
        <f>E43</f>
        <v>0</v>
      </c>
      <c r="F42" s="2" t="b">
        <f t="shared" si="5"/>
        <v>0</v>
      </c>
    </row>
    <row r="43">
      <c r="A43" s="1" t="s">
        <v>107</v>
      </c>
      <c r="B43" s="1" t="s">
        <v>108</v>
      </c>
      <c r="C43" s="3" t="str">
        <f>D43</f>
        <v/>
      </c>
      <c r="D43" s="3"/>
      <c r="E43" s="2" t="b">
        <v>0</v>
      </c>
      <c r="F43" s="2" t="b">
        <f t="shared" si="5"/>
        <v>0</v>
      </c>
    </row>
    <row r="44">
      <c r="A44" s="1" t="s">
        <v>109</v>
      </c>
      <c r="B44" s="1" t="s">
        <v>110</v>
      </c>
      <c r="C44" s="3"/>
      <c r="D44" s="3"/>
      <c r="E44" s="2" t="b">
        <f>E45</f>
        <v>0</v>
      </c>
      <c r="F44" s="2" t="b">
        <f t="shared" si="5"/>
        <v>0</v>
      </c>
    </row>
    <row r="45">
      <c r="A45" s="1" t="s">
        <v>111</v>
      </c>
      <c r="B45" s="1" t="s">
        <v>112</v>
      </c>
      <c r="C45" s="3" t="str">
        <f>D45</f>
        <v/>
      </c>
      <c r="D45" s="3"/>
      <c r="E45" s="2" t="b">
        <v>0</v>
      </c>
      <c r="F45" s="2" t="b">
        <f t="shared" si="5"/>
        <v>0</v>
      </c>
    </row>
    <row r="46">
      <c r="A46" s="1" t="s">
        <v>113</v>
      </c>
      <c r="B46" s="1" t="s">
        <v>114</v>
      </c>
      <c r="C46" s="3"/>
      <c r="D46" s="3"/>
      <c r="E46" s="2" t="b">
        <v>0</v>
      </c>
      <c r="F46" s="2" t="b">
        <f t="shared" si="5"/>
        <v>0</v>
      </c>
    </row>
    <row r="47">
      <c r="A47" s="4" t="s">
        <v>115</v>
      </c>
      <c r="B47" s="4" t="s">
        <v>116</v>
      </c>
      <c r="C47" s="5" t="str">
        <f t="shared" ref="C47:C48" si="6">D47</f>
        <v/>
      </c>
      <c r="D47" s="5"/>
      <c r="E47" s="6" t="b">
        <v>0</v>
      </c>
      <c r="F47" s="6" t="b">
        <f t="shared" si="5"/>
        <v>0</v>
      </c>
      <c r="G47" s="7"/>
    </row>
    <row r="48">
      <c r="A48" s="1" t="s">
        <v>117</v>
      </c>
      <c r="B48" s="1" t="s">
        <v>118</v>
      </c>
      <c r="C48" s="3" t="str">
        <f t="shared" si="6"/>
        <v>테스트 중입니다</v>
      </c>
      <c r="D48" s="1" t="s">
        <v>10</v>
      </c>
      <c r="E48" s="3"/>
      <c r="F48" s="3"/>
    </row>
    <row r="49">
      <c r="A49" s="1" t="s">
        <v>119</v>
      </c>
      <c r="B49" s="1" t="s">
        <v>120</v>
      </c>
      <c r="C49" s="3" t="str">
        <f>CONCATENATE(D49, " 원 / 月")</f>
        <v>320,000 원 / 月</v>
      </c>
      <c r="D49" s="1" t="s">
        <v>15</v>
      </c>
    </row>
    <row r="50">
      <c r="A50" s="1" t="s">
        <v>121</v>
      </c>
      <c r="B50" s="1" t="s">
        <v>122</v>
      </c>
      <c r="C50" s="1" t="str">
        <f>D50</f>
        <v>960,000</v>
      </c>
      <c r="D50" s="1" t="s">
        <v>20</v>
      </c>
    </row>
    <row r="51">
      <c r="A51" s="1" t="s">
        <v>123</v>
      </c>
      <c r="B51" s="1" t="s">
        <v>124</v>
      </c>
      <c r="C51" s="1" t="str">
        <f>CONCATENATE("3개월: ", D51, " 원")</f>
        <v>3개월: 888,000 원</v>
      </c>
      <c r="D51" s="1" t="s">
        <v>25</v>
      </c>
    </row>
    <row r="52">
      <c r="A52" s="1" t="s">
        <v>125</v>
      </c>
      <c r="B52" s="1" t="s">
        <v>126</v>
      </c>
      <c r="C52" s="3" t="str">
        <f>D52</f>
        <v>1,920,000</v>
      </c>
      <c r="D52" s="1" t="s">
        <v>29</v>
      </c>
    </row>
    <row r="53">
      <c r="A53" s="1" t="s">
        <v>127</v>
      </c>
      <c r="B53" s="1" t="s">
        <v>128</v>
      </c>
      <c r="C53" s="3" t="str">
        <f>CONCATENATE("6개월: ", D53, " 원")</f>
        <v>6개월: 1,680,000 원</v>
      </c>
      <c r="D53" s="1" t="s">
        <v>32</v>
      </c>
    </row>
    <row r="54">
      <c r="A54" s="1" t="s">
        <v>129</v>
      </c>
      <c r="B54" s="1" t="s">
        <v>130</v>
      </c>
      <c r="C54" s="3" t="str">
        <f>CONCATENATE("월 포스팅 ", D54, "건 ", "(주 ", round(D54/4,0), "회)")</f>
        <v>월 포스팅 4건 (주 1회)</v>
      </c>
      <c r="D54" s="1" t="s">
        <v>35</v>
      </c>
    </row>
    <row r="55">
      <c r="A55" s="1" t="s">
        <v>131</v>
      </c>
      <c r="B55" s="1" t="s">
        <v>132</v>
      </c>
      <c r="C55" s="3"/>
      <c r="D55" s="3"/>
      <c r="E55" s="2" t="b">
        <f>E56</f>
        <v>0</v>
      </c>
      <c r="F55" s="2" t="b">
        <v>1</v>
      </c>
    </row>
    <row r="56">
      <c r="A56" s="1" t="s">
        <v>133</v>
      </c>
      <c r="B56" s="1" t="s">
        <v>134</v>
      </c>
      <c r="C56" s="3" t="str">
        <f>D56</f>
        <v>??</v>
      </c>
      <c r="D56" s="1" t="s">
        <v>40</v>
      </c>
      <c r="E56" s="2" t="b">
        <v>0</v>
      </c>
      <c r="F56" s="2" t="b">
        <v>1</v>
      </c>
    </row>
    <row r="57">
      <c r="A57" s="1" t="s">
        <v>135</v>
      </c>
      <c r="B57" s="1" t="s">
        <v>136</v>
      </c>
      <c r="C57" s="3"/>
      <c r="D57" s="3"/>
      <c r="E57" s="2" t="b">
        <f>E58</f>
        <v>0</v>
      </c>
      <c r="F57" s="2" t="b">
        <f>if(C57&lt;&gt;"", TRUE, FALSE)</f>
        <v>0</v>
      </c>
    </row>
    <row r="58">
      <c r="A58" s="1" t="s">
        <v>137</v>
      </c>
      <c r="B58" s="1" t="s">
        <v>138</v>
      </c>
      <c r="C58" s="3" t="str">
        <f>D58</f>
        <v>강조 테스트</v>
      </c>
      <c r="D58" s="1" t="s">
        <v>45</v>
      </c>
      <c r="E58" s="2" t="b">
        <v>0</v>
      </c>
      <c r="F58" s="2" t="b">
        <v>0</v>
      </c>
    </row>
    <row r="59">
      <c r="A59" s="1" t="s">
        <v>139</v>
      </c>
      <c r="B59" s="1" t="s">
        <v>140</v>
      </c>
      <c r="C59" s="3"/>
      <c r="D59" s="3"/>
      <c r="E59" s="2" t="b">
        <f>E60</f>
        <v>1</v>
      </c>
      <c r="F59" s="2" t="b">
        <f t="shared" ref="F59:F61" si="7">if(C59&lt;&gt;"", TRUE, FALSE)</f>
        <v>0</v>
      </c>
    </row>
    <row r="60">
      <c r="A60" s="1" t="s">
        <v>141</v>
      </c>
      <c r="B60" s="1" t="s">
        <v>142</v>
      </c>
      <c r="C60" s="3" t="str">
        <f>D60</f>
        <v/>
      </c>
      <c r="D60" s="1"/>
      <c r="E60" s="2" t="b">
        <v>1</v>
      </c>
      <c r="F60" s="2" t="b">
        <f t="shared" si="7"/>
        <v>0</v>
      </c>
    </row>
    <row r="61">
      <c r="A61" s="1" t="s">
        <v>143</v>
      </c>
      <c r="B61" s="1" t="s">
        <v>144</v>
      </c>
      <c r="C61" s="3"/>
      <c r="D61" s="3"/>
      <c r="E61" s="2" t="b">
        <f>E62</f>
        <v>0</v>
      </c>
      <c r="F61" s="2" t="b">
        <f t="shared" si="7"/>
        <v>0</v>
      </c>
    </row>
    <row r="62">
      <c r="A62" s="1" t="s">
        <v>145</v>
      </c>
      <c r="B62" s="1" t="s">
        <v>146</v>
      </c>
      <c r="C62" s="3" t="str">
        <f>D62</f>
        <v>보이기 테스트</v>
      </c>
      <c r="D62" s="1" t="s">
        <v>54</v>
      </c>
      <c r="E62" s="2" t="b">
        <v>0</v>
      </c>
      <c r="F62" s="2" t="b">
        <v>0</v>
      </c>
    </row>
    <row r="63">
      <c r="A63" s="1" t="s">
        <v>147</v>
      </c>
      <c r="B63" s="1" t="s">
        <v>148</v>
      </c>
      <c r="C63" s="3"/>
      <c r="D63" s="3"/>
      <c r="E63" s="2" t="b">
        <f>E64</f>
        <v>0</v>
      </c>
      <c r="F63" s="2" t="b">
        <f t="shared" ref="F63:F70" si="8">if(C63&lt;&gt;"", TRUE, FALSE)</f>
        <v>0</v>
      </c>
    </row>
    <row r="64">
      <c r="A64" s="1" t="s">
        <v>149</v>
      </c>
      <c r="B64" s="1" t="s">
        <v>150</v>
      </c>
      <c r="C64" s="3" t="str">
        <f>D64</f>
        <v/>
      </c>
      <c r="D64" s="3"/>
      <c r="E64" s="2" t="b">
        <v>0</v>
      </c>
      <c r="F64" s="2" t="b">
        <f t="shared" si="8"/>
        <v>0</v>
      </c>
    </row>
    <row r="65">
      <c r="A65" s="1" t="s">
        <v>151</v>
      </c>
      <c r="B65" s="1" t="s">
        <v>152</v>
      </c>
      <c r="C65" s="3"/>
      <c r="D65" s="3"/>
      <c r="E65" s="2" t="b">
        <f>E66</f>
        <v>0</v>
      </c>
      <c r="F65" s="2" t="b">
        <f t="shared" si="8"/>
        <v>0</v>
      </c>
    </row>
    <row r="66">
      <c r="A66" s="1" t="s">
        <v>153</v>
      </c>
      <c r="B66" s="1" t="s">
        <v>154</v>
      </c>
      <c r="C66" s="3" t="str">
        <f>D66</f>
        <v/>
      </c>
      <c r="D66" s="3"/>
      <c r="E66" s="2" t="b">
        <v>0</v>
      </c>
      <c r="F66" s="2" t="b">
        <f t="shared" si="8"/>
        <v>0</v>
      </c>
    </row>
    <row r="67">
      <c r="A67" s="1" t="s">
        <v>155</v>
      </c>
      <c r="B67" s="1" t="s">
        <v>156</v>
      </c>
      <c r="C67" s="3"/>
      <c r="D67" s="3"/>
      <c r="E67" s="2" t="b">
        <f>E68</f>
        <v>0</v>
      </c>
      <c r="F67" s="2" t="b">
        <f t="shared" si="8"/>
        <v>0</v>
      </c>
    </row>
    <row r="68">
      <c r="A68" s="1" t="s">
        <v>157</v>
      </c>
      <c r="B68" s="1" t="s">
        <v>158</v>
      </c>
      <c r="C68" s="3" t="str">
        <f>D68</f>
        <v/>
      </c>
      <c r="D68" s="3"/>
      <c r="E68" s="2" t="b">
        <v>0</v>
      </c>
      <c r="F68" s="2" t="b">
        <f t="shared" si="8"/>
        <v>0</v>
      </c>
    </row>
    <row r="69">
      <c r="A69" s="1" t="s">
        <v>159</v>
      </c>
      <c r="B69" s="1" t="s">
        <v>160</v>
      </c>
      <c r="C69" s="3"/>
      <c r="D69" s="3"/>
      <c r="E69" s="2" t="b">
        <v>0</v>
      </c>
      <c r="F69" s="2" t="b">
        <f t="shared" si="8"/>
        <v>0</v>
      </c>
    </row>
    <row r="70">
      <c r="A70" s="1" t="s">
        <v>161</v>
      </c>
      <c r="B70" s="1" t="s">
        <v>162</v>
      </c>
      <c r="C70" s="3" t="str">
        <f>D70</f>
        <v/>
      </c>
      <c r="D70" s="3"/>
      <c r="E70" s="2" t="b">
        <v>0</v>
      </c>
      <c r="F70" s="2" t="b">
        <f t="shared" si="8"/>
        <v>0</v>
      </c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  <row r="1001">
      <c r="A1001" s="3"/>
      <c r="B1001" s="3"/>
      <c r="C1001" s="3"/>
      <c r="D1001" s="3"/>
    </row>
  </sheetData>
  <dataValidations>
    <dataValidation type="list" allowBlank="1" showErrorMessage="1" sqref="E9:F24 E32:F47 E55:F70">
      <formula1>"TRUE,FALSE"</formula1>
    </dataValidation>
  </dataValidations>
  <drawing r:id="rId1"/>
</worksheet>
</file>